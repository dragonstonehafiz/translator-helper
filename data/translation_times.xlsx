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HexMa\Desktop\repos\translator-helper\data\"/>
    </mc:Choice>
  </mc:AlternateContent>
  <xr:revisionPtr revIDLastSave="0" documentId="13_ncr:1_{F21F0077-6EB5-44D8-9FB1-F2D65D9A2328}" xr6:coauthVersionLast="47" xr6:coauthVersionMax="47" xr10:uidLastSave="{00000000-0000-0000-0000-000000000000}"/>
  <bookViews>
    <workbookView xWindow="28680" yWindow="-945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" l="1"/>
  <c r="H9" i="1"/>
  <c r="O3" i="1"/>
  <c r="H8" i="1"/>
  <c r="K8" i="1"/>
  <c r="L8" i="1"/>
  <c r="H2" i="1"/>
  <c r="J2" i="1"/>
  <c r="K2" i="1"/>
  <c r="L2" i="1"/>
  <c r="H3" i="1"/>
  <c r="K3" i="1"/>
  <c r="L3" i="1"/>
  <c r="H4" i="1"/>
  <c r="K4" i="1"/>
  <c r="L4" i="1"/>
  <c r="H5" i="1"/>
  <c r="K5" i="1"/>
  <c r="L5" i="1"/>
  <c r="H6" i="1"/>
  <c r="K6" i="1"/>
  <c r="L6" i="1"/>
  <c r="H7" i="1"/>
  <c r="K7" i="1"/>
  <c r="L7" i="1"/>
  <c r="L9" i="1" l="1"/>
  <c r="O2" i="1" s="1"/>
</calcChain>
</file>

<file path=xl/sharedStrings.xml><?xml version="1.0" encoding="utf-8"?>
<sst xmlns="http://schemas.openxmlformats.org/spreadsheetml/2006/main" count="30" uniqueCount="23">
  <si>
    <t>video</t>
  </si>
  <si>
    <t>lines</t>
  </si>
  <si>
    <t>hours</t>
  </si>
  <si>
    <t>mins</t>
  </si>
  <si>
    <t>sec</t>
  </si>
  <si>
    <t>character_count</t>
  </si>
  <si>
    <t>average_character_count</t>
  </si>
  <si>
    <t>context_size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</si>
  <si>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</si>
  <si>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</si>
  <si>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</si>
  <si>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</si>
  <si>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</si>
  <si>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</si>
  <si>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</si>
  <si>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</si>
  <si>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</si>
  <si>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</si>
  <si>
    <t>gakumas lilja hakusen</t>
  </si>
  <si>
    <t>model</t>
  </si>
  <si>
    <t>gpt-4o</t>
  </si>
  <si>
    <t>gakumas lilja kamurogiku</t>
  </si>
  <si>
    <t>gakumas lilja sakura photograph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</si>
</sst>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O9"/>
  <sheetViews>
    <sheetView tabSelected="1" workbookViewId="0">
      <selection activeCell="N9" sqref="N9"/>
    </sheetView>
  </sheetViews>
  <sheetFormatPr defaultRowHeight="15" x14ac:dyDescent="0.25"/>
  <cols>
    <col min="2" max="2" width="8.28515625" customWidth="1"/>
    <col min="6" max="6" width="9.140625" style="3"/>
    <col min="7" max="7" width="9.5703125" style="3" bestFit="1" customWidth="1"/>
  </cols>
  <sheetData>
    <row r="1" spans="1:15" x14ac:dyDescent="0.25">
      <c r="A1" t="s">
        <v>0</v>
      </c>
      <c r="B1" t="s">
        <v>19</v>
      </c>
      <c r="C1" t="s">
        <v>2</v>
      </c>
      <c r="D1" t="s">
        <v>3</v>
      </c>
      <c r="E1" t="s">
        <v>4</v>
      </c>
      <c r="F1" t="s">
        <v>1</v>
      </c>
      <c r="G1" s="3" t="s">
        <v>5</v>
      </c>
      <c r="H1" t="s">
        <v>6</v>
      </c>
      <c r="I1" t="s">
        <v>7</v>
      </c>
      <c r="J1" t="s">
        <v>8</v>
      </c>
      <c r="K1" t="s">
        <v>9</v>
      </c>
      <c r="L1" t="s">
        <v>15</v>
      </c>
    </row>
    <row r="2" spans="1:15" x14ac:dyDescent="0.25">
      <c r="A2" t="s">
        <v>10</v>
      </c>
      <c r="B2" t="s">
        <v>20</v>
      </c>
      <c r="C2">
        <v>0</v>
      </c>
      <c r="D2">
        <v>23</v>
      </c>
      <c r="E2">
        <v>36</v>
      </c>
      <c r="F2">
        <v>935</v>
      </c>
      <c r="G2" s="3">
        <v>15967</v>
      </c>
      <c r="H2" s="1">
        <f t="shared" ref="H2:H9" si="0">G2/F2</f>
        <v>17.077005347593584</v>
      </c>
      <c r="I2">
        <v>3</v>
      </c>
      <c r="J2" s="1">
        <f>4.98-2.58</f>
        <v>2.4000000000000004</v>
      </c>
      <c r="K2" s="2">
        <f t="shared" ref="K2:K9" si="1">J2/G2</f>
        <v>1.5031001440470973E-4</v>
      </c>
      <c r="L2">
        <f>J2/F2</f>
        <v>2.5668449197860967E-3</v>
      </c>
      <c r="N2" t="s">
        <v>16</v>
      </c>
      <c r="O2">
        <f>AVERAGE(L:L)</f>
        <v>2.6489955536699739E-3</v>
      </c>
    </row>
    <row r="3" spans="1:15" x14ac:dyDescent="0.25">
      <c r="A3" t="s">
        <v>11</v>
      </c>
      <c r="B3" t="s">
        <v>20</v>
      </c>
      <c r="C3">
        <v>0</v>
      </c>
      <c r="F3">
        <v>705</v>
      </c>
      <c r="G3" s="3">
        <v>10215</v>
      </c>
      <c r="H3" s="1">
        <f t="shared" si="0"/>
        <v>14.48936170212766</v>
      </c>
      <c r="I3">
        <v>3</v>
      </c>
      <c r="J3" s="1">
        <v>1.55</v>
      </c>
      <c r="K3" s="2">
        <f t="shared" si="1"/>
        <v>1.5173764072442487E-4</v>
      </c>
      <c r="L3">
        <f t="shared" ref="L3:L9" si="2">J3/F3</f>
        <v>2.1985815602836882E-3</v>
      </c>
      <c r="N3" t="s">
        <v>17</v>
      </c>
      <c r="O3">
        <f>SUM(F:F)</f>
        <v>3158</v>
      </c>
    </row>
    <row r="4" spans="1:15" x14ac:dyDescent="0.25">
      <c r="A4" t="s">
        <v>12</v>
      </c>
      <c r="B4" t="s">
        <v>20</v>
      </c>
      <c r="C4">
        <v>0</v>
      </c>
      <c r="D4">
        <v>10</v>
      </c>
      <c r="E4">
        <v>45</v>
      </c>
      <c r="F4">
        <v>331</v>
      </c>
      <c r="G4" s="3">
        <v>4569</v>
      </c>
      <c r="H4" s="1">
        <f t="shared" si="0"/>
        <v>13.803625377643504</v>
      </c>
      <c r="I4">
        <v>3</v>
      </c>
      <c r="J4">
        <v>0.92</v>
      </c>
      <c r="K4" s="2">
        <f t="shared" si="1"/>
        <v>2.0135697089078574E-4</v>
      </c>
      <c r="L4">
        <f t="shared" si="2"/>
        <v>2.7794561933534743E-3</v>
      </c>
    </row>
    <row r="5" spans="1:15" x14ac:dyDescent="0.25">
      <c r="A5" t="s">
        <v>13</v>
      </c>
      <c r="B5" t="s">
        <v>20</v>
      </c>
      <c r="C5">
        <v>0</v>
      </c>
      <c r="D5">
        <v>8</v>
      </c>
      <c r="E5">
        <v>35</v>
      </c>
      <c r="F5">
        <v>248</v>
      </c>
      <c r="G5" s="3">
        <v>3496</v>
      </c>
      <c r="H5" s="1">
        <f t="shared" si="0"/>
        <v>14.096774193548388</v>
      </c>
      <c r="I5">
        <v>3</v>
      </c>
      <c r="J5">
        <v>0.77</v>
      </c>
      <c r="K5" s="2">
        <f t="shared" si="1"/>
        <v>2.2025171624713959E-4</v>
      </c>
      <c r="L5">
        <f t="shared" si="2"/>
        <v>3.1048387096774192E-3</v>
      </c>
    </row>
    <row r="6" spans="1:15" x14ac:dyDescent="0.25">
      <c r="A6" t="s">
        <v>14</v>
      </c>
      <c r="B6" t="s">
        <v>20</v>
      </c>
      <c r="C6">
        <v>0</v>
      </c>
      <c r="D6">
        <v>11</v>
      </c>
      <c r="E6">
        <v>26</v>
      </c>
      <c r="F6">
        <v>351</v>
      </c>
      <c r="G6" s="3">
        <v>4351</v>
      </c>
      <c r="H6" s="1">
        <f t="shared" si="0"/>
        <v>12.396011396011396</v>
      </c>
      <c r="I6">
        <v>3</v>
      </c>
      <c r="J6">
        <v>0.98</v>
      </c>
      <c r="K6" s="2">
        <f t="shared" si="1"/>
        <v>2.2523557802803953E-4</v>
      </c>
      <c r="L6">
        <f t="shared" si="2"/>
        <v>2.7920227920227919E-3</v>
      </c>
    </row>
    <row r="7" spans="1:15" x14ac:dyDescent="0.25">
      <c r="A7" t="s">
        <v>18</v>
      </c>
      <c r="B7" t="s">
        <v>20</v>
      </c>
      <c r="C7">
        <v>0</v>
      </c>
      <c r="D7">
        <v>3</v>
      </c>
      <c r="E7">
        <v>57</v>
      </c>
      <c r="F7">
        <v>166</v>
      </c>
      <c r="G7" s="3">
        <v>2283</v>
      </c>
      <c r="H7" s="1">
        <f t="shared" si="0"/>
        <v>13.753012048192771</v>
      </c>
      <c r="I7">
        <v>3</v>
      </c>
      <c r="J7">
        <v>0.38</v>
      </c>
      <c r="K7" s="2">
        <f t="shared" si="1"/>
        <v>1.6644765659220326E-4</v>
      </c>
      <c r="L7">
        <f t="shared" si="2"/>
        <v>2.2891566265060242E-3</v>
      </c>
    </row>
    <row r="8" spans="1:15" x14ac:dyDescent="0.25">
      <c r="A8" t="s">
        <v>21</v>
      </c>
      <c r="B8" t="s">
        <v>20</v>
      </c>
      <c r="C8">
        <v>0</v>
      </c>
      <c r="D8">
        <v>4</v>
      </c>
      <c r="E8">
        <v>1</v>
      </c>
      <c r="F8" s="3">
        <v>162</v>
      </c>
      <c r="G8" s="3">
        <v>2667</v>
      </c>
      <c r="H8" s="1">
        <f t="shared" si="0"/>
        <v>16.462962962962962</v>
      </c>
      <c r="I8">
        <v>3</v>
      </c>
      <c r="J8">
        <v>0.38</v>
      </c>
      <c r="K8" s="2">
        <f t="shared" si="1"/>
        <v>1.4248218972628423E-4</v>
      </c>
      <c r="L8">
        <f t="shared" si="2"/>
        <v>2.345679012345679E-3</v>
      </c>
    </row>
    <row r="9" spans="1:15" x14ac:dyDescent="0.25">
      <c r="A9" t="s">
        <v>22</v>
      </c>
      <c r="B9" t="s">
        <v>20</v>
      </c>
      <c r="C9">
        <v>0</v>
      </c>
      <c r="D9">
        <v>9</v>
      </c>
      <c r="E9">
        <v>42</v>
      </c>
      <c r="F9" s="3">
        <v>260</v>
      </c>
      <c r="G9" s="3">
        <v>4231</v>
      </c>
      <c r="H9" s="1">
        <f t="shared" si="0"/>
        <v>16.273076923076925</v>
      </c>
      <c r="I9">
        <v>3</v>
      </c>
      <c r="J9">
        <v>0.81</v>
      </c>
      <c r="K9" s="2">
        <f t="shared" si="1"/>
        <v>1.9144410304892462E-4</v>
      </c>
      <c r="L9">
        <f t="shared" si="2"/>
        <v>3.1153846153846158E-3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2025-10-26T23:29:28Z</dcterms:modified>
</cp:coreProperties>
</file>
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repos\translator-helper\data\"/>
    </mc:Choice>
  </mc:AlternateContent>
  <xr:revisionPtr revIDLastSave="0" documentId="13_ncr:1_{B58608F0-7AA9-4880-B359-2725A5B2571B}" xr6:coauthVersionLast="47" xr6:coauthVersionMax="47" xr10:uidLastSave="{00000000-0000-0000-0000-000000000000}"/>
  <bookViews>
    <workbookView xWindow="28680" yWindow="-120" windowWidth="29040" windowHeight="15720" xr2:uid="{50C1EBFE-BD10-47AD-808E-F15717A1EC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2" i="1" l="1"/>
  <c r="L22" i="1"/>
  <c r="H22" i="1"/>
  <c r="H21" i="1"/>
  <c r="J21" i="1"/>
  <c r="L21" i="1" s="1"/>
  <c r="H20" i="1"/>
  <c r="J20" i="1"/>
  <c r="K20" i="1" s="1"/>
  <c r="K19" i="1"/>
  <c r="L19" i="1"/>
  <c r="J19" i="1"/>
  <c r="H19" i="1"/>
  <c r="J18" i="1"/>
  <c r="K18" i="1"/>
  <c r="L18" i="1"/>
  <c r="H18" i="1"/>
  <c r="J17" i="1"/>
  <c r="K17" i="1" s="1"/>
  <c r="H17" i="1"/>
  <c r="K16" i="1"/>
  <c r="L16" i="1"/>
  <c r="H16" i="1"/>
  <c r="L15" i="1"/>
  <c r="K15" i="1"/>
  <c r="H15" i="1"/>
  <c r="J14" i="1"/>
  <c r="L14" i="1" s="1"/>
  <c r="H14" i="1"/>
  <c r="H13" i="1"/>
  <c r="K13" i="1"/>
  <c r="L13" i="1"/>
  <c r="H12" i="1"/>
  <c r="K12" i="1"/>
  <c r="L12" i="1"/>
  <c r="K11" i="1"/>
  <c r="H11" i="1"/>
  <c r="H10" i="1"/>
  <c r="K10" i="1"/>
  <c r="L10" i="1"/>
  <c r="K9" i="1"/>
  <c r="H9" i="1"/>
  <c r="O3" i="1"/>
  <c r="H8" i="1"/>
  <c r="K8" i="1"/>
  <c r="L8" i="1"/>
  <c r="H2" i="1"/>
  <c r="J2" i="1"/>
  <c r="K2" i="1"/>
  <c r="L2" i="1"/>
  <c r="H3" i="1"/>
  <c r="K3" i="1"/>
  <c r="L3" i="1"/>
  <c r="H4" i="1"/>
  <c r="K4" i="1"/>
  <c r="L4" i="1"/>
  <c r="H5" i="1"/>
  <c r="K5" i="1"/>
  <c r="L5" i="1"/>
  <c r="H6" i="1"/>
  <c r="K6" i="1"/>
  <c r="L6" i="1"/>
  <c r="H7" i="1"/>
  <c r="K7" i="1"/>
  <c r="L7" i="1"/>
  <c r="L20" i="1" l="1"/>
  <c r="K14" i="1"/>
  <c r="K21" i="1"/>
  <c r="L17" i="1"/>
  <c r="L11" i="1"/>
  <c r="L9" i="1"/>
  <c r="O2" i="1" s="1"/>
</calcChain>
</file>

<file path=xl/sharedStrings.xml><?xml version="1.0" encoding="utf-8"?>
<sst xmlns="http://schemas.openxmlformats.org/spreadsheetml/2006/main" count="56" uniqueCount="36">
  <si>
    <t>video</t>
  </si>
  <si>
    <t>lines</t>
  </si>
  <si>
    <t>hours</t>
  </si>
  <si>
    <t>mins</t>
  </si>
  <si>
    <t>sec</t>
  </si>
  <si>
    <t>character_count</t>
  </si>
  <si>
    <t>average_character_count</t>
  </si>
  <si>
    <t>cost_usd</t>
  </si>
  <si>
    <t>cost_per_character</t>
  </si>
  <si>
    <t>gakumas lilja bond step 1</t>
  </si>
  <si>
    <t>gakumas lilja bond step 2</t>
  </si>
  <si>
    <t>makeine vol2.1</t>
  </si>
  <si>
    <t>makeine vol2.2</t>
  </si>
  <si>
    <t>makeine vol2.3</t>
  </si>
  <si>
    <t>cost_per_line</t>
  </si>
  <si>
    <t>avg_line_cost:</t>
  </si>
  <si>
    <t>total lines:</t>
  </si>
  <si>
    <t>gakumas lilja hakusen</t>
  </si>
  <si>
    <t>model</t>
  </si>
  <si>
    <t>gpt-4o</t>
  </si>
  <si>
    <t>gakumas lilja kamurogiku</t>
  </si>
  <si>
    <t>gakumas lilja sakura photograph</t>
  </si>
  <si>
    <t>gakumas lilja howling over the world</t>
  </si>
  <si>
    <t>gakumas lilja kyokko</t>
  </si>
  <si>
    <t>gakumas lilja atmosphere</t>
  </si>
  <si>
    <t>gakumas lilja white night white wish</t>
  </si>
  <si>
    <t>gpt-4.1-mini</t>
  </si>
  <si>
    <t>gakumas event 01</t>
  </si>
  <si>
    <t>batch_size</t>
  </si>
  <si>
    <t>gakumas lilja step 3</t>
  </si>
  <si>
    <t>claude sonnet 4.6</t>
  </si>
  <si>
    <t>gakumas event 02</t>
  </si>
  <si>
    <t>gakumas tokimeki emotion lilja</t>
  </si>
  <si>
    <t>gakumas event 03</t>
  </si>
  <si>
    <t>claude haiku 4.5</t>
  </si>
  <si>
    <t>gakumas event 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</si>
</sst>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16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B118A-139E-42B7-BCC2-032941E226DF}">
  <dimension ref="A1:O22"/>
  <sheetViews>
    <sheetView tabSelected="1" workbookViewId="0">
      <selection activeCell="M21" sqref="M21"/>
    </sheetView>
  </sheetViews>
  <sheetFormatPr defaultRowHeight="15" x14ac:dyDescent="0.25"/>
  <cols>
    <col min="2" max="2" width="8.28515625" customWidth="1"/>
    <col min="6" max="6" width="9.140625" style="3"/>
    <col min="7" max="7" width="9.5703125" style="3" bestFit="1" customWidth="1"/>
  </cols>
  <sheetData>
    <row r="1" spans="1:15" x14ac:dyDescent="0.25">
      <c r="A1" t="s">
        <v>0</v>
      </c>
      <c r="B1" t="s">
        <v>18</v>
      </c>
      <c r="C1" t="s">
        <v>2</v>
      </c>
      <c r="D1" t="s">
        <v>3</v>
      </c>
      <c r="E1" t="s">
        <v>4</v>
      </c>
      <c r="F1" t="s">
        <v>1</v>
      </c>
      <c r="G1" s="3" t="s">
        <v>5</v>
      </c>
      <c r="H1" t="s">
        <v>6</v>
      </c>
      <c r="I1" t="s">
        <v>28</v>
      </c>
      <c r="J1" t="s">
        <v>7</v>
      </c>
      <c r="K1" t="s">
        <v>8</v>
      </c>
      <c r="L1" t="s">
        <v>14</v>
      </c>
    </row>
    <row r="2" spans="1:15" x14ac:dyDescent="0.25">
      <c r="A2" t="s">
        <v>9</v>
      </c>
      <c r="B2" t="s">
        <v>19</v>
      </c>
      <c r="C2">
        <v>0</v>
      </c>
      <c r="D2">
        <v>23</v>
      </c>
      <c r="E2">
        <v>36</v>
      </c>
      <c r="F2">
        <v>935</v>
      </c>
      <c r="G2" s="3">
        <v>15967</v>
      </c>
      <c r="H2" s="1">
        <f t="shared" ref="H2:H11" si="0">G2/F2</f>
        <v>17.077005347593584</v>
      </c>
      <c r="I2">
        <v>3</v>
      </c>
      <c r="J2" s="1">
        <f>4.98-2.58</f>
        <v>2.4000000000000004</v>
      </c>
      <c r="K2" s="2">
        <f t="shared" ref="K2:K13" si="1">J2/G2</f>
        <v>1.5031001440470973E-4</v>
      </c>
      <c r="L2">
        <f>J2/F2</f>
        <v>2.5668449197860967E-3</v>
      </c>
      <c r="N2" t="s">
        <v>15</v>
      </c>
      <c r="O2">
        <f>AVERAGE(L:L)</f>
        <v>1.755255443975859E-3</v>
      </c>
    </row>
    <row r="3" spans="1:15" x14ac:dyDescent="0.25">
      <c r="A3" t="s">
        <v>10</v>
      </c>
      <c r="B3" t="s">
        <v>19</v>
      </c>
      <c r="C3">
        <v>0</v>
      </c>
      <c r="F3">
        <v>705</v>
      </c>
      <c r="G3" s="3">
        <v>10215</v>
      </c>
      <c r="H3" s="1">
        <f t="shared" si="0"/>
        <v>14.48936170212766</v>
      </c>
      <c r="I3">
        <v>3</v>
      </c>
      <c r="J3" s="1">
        <v>1.55</v>
      </c>
      <c r="K3" s="2">
        <f t="shared" si="1"/>
        <v>1.5173764072442487E-4</v>
      </c>
      <c r="L3">
        <f t="shared" ref="L3:L13" si="2">J3/F3</f>
        <v>2.1985815602836882E-3</v>
      </c>
      <c r="N3" t="s">
        <v>16</v>
      </c>
      <c r="O3">
        <f>SUM(F:F)</f>
        <v>7716</v>
      </c>
    </row>
    <row r="4" spans="1:15" x14ac:dyDescent="0.25">
      <c r="A4" t="s">
        <v>11</v>
      </c>
      <c r="B4" t="s">
        <v>19</v>
      </c>
      <c r="C4">
        <v>0</v>
      </c>
      <c r="D4">
        <v>10</v>
      </c>
      <c r="E4">
        <v>45</v>
      </c>
      <c r="F4">
        <v>331</v>
      </c>
      <c r="G4" s="3">
        <v>4569</v>
      </c>
      <c r="H4" s="1">
        <f t="shared" si="0"/>
        <v>13.803625377643504</v>
      </c>
      <c r="I4">
        <v>3</v>
      </c>
      <c r="J4">
        <v>0.92</v>
      </c>
      <c r="K4" s="2">
        <f t="shared" si="1"/>
        <v>2.0135697089078574E-4</v>
      </c>
      <c r="L4">
        <f t="shared" si="2"/>
        <v>2.7794561933534743E-3</v>
      </c>
    </row>
    <row r="5" spans="1:15" x14ac:dyDescent="0.25">
      <c r="A5" t="s">
        <v>12</v>
      </c>
      <c r="B5" t="s">
        <v>19</v>
      </c>
      <c r="C5">
        <v>0</v>
      </c>
      <c r="D5">
        <v>8</v>
      </c>
      <c r="E5">
        <v>35</v>
      </c>
      <c r="F5">
        <v>248</v>
      </c>
      <c r="G5" s="3">
        <v>3496</v>
      </c>
      <c r="H5" s="1">
        <f t="shared" si="0"/>
        <v>14.096774193548388</v>
      </c>
      <c r="I5">
        <v>3</v>
      </c>
      <c r="J5">
        <v>0.77</v>
      </c>
      <c r="K5" s="2">
        <f t="shared" si="1"/>
        <v>2.2025171624713959E-4</v>
      </c>
      <c r="L5">
        <f t="shared" si="2"/>
        <v>3.1048387096774192E-3</v>
      </c>
    </row>
    <row r="6" spans="1:15" x14ac:dyDescent="0.25">
      <c r="A6" t="s">
        <v>13</v>
      </c>
      <c r="B6" t="s">
        <v>19</v>
      </c>
      <c r="C6">
        <v>0</v>
      </c>
      <c r="D6">
        <v>11</v>
      </c>
      <c r="E6">
        <v>26</v>
      </c>
      <c r="F6">
        <v>351</v>
      </c>
      <c r="G6" s="3">
        <v>4351</v>
      </c>
      <c r="H6" s="1">
        <f t="shared" si="0"/>
        <v>12.396011396011396</v>
      </c>
      <c r="I6">
        <v>3</v>
      </c>
      <c r="J6">
        <v>0.98</v>
      </c>
      <c r="K6" s="2">
        <f t="shared" si="1"/>
        <v>2.2523557802803953E-4</v>
      </c>
      <c r="L6">
        <f t="shared" si="2"/>
        <v>2.7920227920227919E-3</v>
      </c>
    </row>
    <row r="7" spans="1:15" x14ac:dyDescent="0.25">
      <c r="A7" t="s">
        <v>17</v>
      </c>
      <c r="B7" t="s">
        <v>19</v>
      </c>
      <c r="C7">
        <v>0</v>
      </c>
      <c r="D7">
        <v>3</v>
      </c>
      <c r="E7">
        <v>57</v>
      </c>
      <c r="F7">
        <v>166</v>
      </c>
      <c r="G7" s="3">
        <v>2283</v>
      </c>
      <c r="H7" s="1">
        <f t="shared" si="0"/>
        <v>13.753012048192771</v>
      </c>
      <c r="I7">
        <v>3</v>
      </c>
      <c r="J7">
        <v>0.38</v>
      </c>
      <c r="K7" s="2">
        <f t="shared" si="1"/>
        <v>1.6644765659220326E-4</v>
      </c>
      <c r="L7">
        <f t="shared" si="2"/>
        <v>2.2891566265060242E-3</v>
      </c>
    </row>
    <row r="8" spans="1:15" x14ac:dyDescent="0.25">
      <c r="A8" t="s">
        <v>20</v>
      </c>
      <c r="B8" t="s">
        <v>19</v>
      </c>
      <c r="C8">
        <v>0</v>
      </c>
      <c r="D8">
        <v>4</v>
      </c>
      <c r="E8">
        <v>1</v>
      </c>
      <c r="F8" s="3">
        <v>162</v>
      </c>
      <c r="G8" s="3">
        <v>2667</v>
      </c>
      <c r="H8" s="1">
        <f t="shared" si="0"/>
        <v>16.462962962962962</v>
      </c>
      <c r="I8">
        <v>3</v>
      </c>
      <c r="J8">
        <v>0.38</v>
      </c>
      <c r="K8" s="2">
        <f t="shared" si="1"/>
        <v>1.4248218972628423E-4</v>
      </c>
      <c r="L8">
        <f t="shared" si="2"/>
        <v>2.345679012345679E-3</v>
      </c>
    </row>
    <row r="9" spans="1:15" x14ac:dyDescent="0.25">
      <c r="A9" t="s">
        <v>21</v>
      </c>
      <c r="B9" t="s">
        <v>19</v>
      </c>
      <c r="C9">
        <v>0</v>
      </c>
      <c r="D9">
        <v>9</v>
      </c>
      <c r="E9">
        <v>42</v>
      </c>
      <c r="F9" s="3">
        <v>260</v>
      </c>
      <c r="G9" s="3">
        <v>4231</v>
      </c>
      <c r="H9" s="1">
        <f t="shared" si="0"/>
        <v>16.273076923076925</v>
      </c>
      <c r="I9">
        <v>3</v>
      </c>
      <c r="J9">
        <v>0.81</v>
      </c>
      <c r="K9" s="2">
        <f t="shared" si="1"/>
        <v>1.9144410304892462E-4</v>
      </c>
      <c r="L9">
        <f t="shared" si="2"/>
        <v>3.1153846153846158E-3</v>
      </c>
    </row>
    <row r="10" spans="1:15" x14ac:dyDescent="0.25">
      <c r="A10" t="s">
        <v>22</v>
      </c>
      <c r="B10" t="s">
        <v>19</v>
      </c>
      <c r="C10">
        <v>0</v>
      </c>
      <c r="D10">
        <v>7</v>
      </c>
      <c r="E10">
        <v>25</v>
      </c>
      <c r="F10" s="3">
        <v>209</v>
      </c>
      <c r="G10" s="3">
        <v>2730</v>
      </c>
      <c r="H10" s="1">
        <f t="shared" si="0"/>
        <v>13.062200956937799</v>
      </c>
      <c r="I10">
        <v>3</v>
      </c>
      <c r="J10">
        <v>0.64</v>
      </c>
      <c r="K10" s="2">
        <f t="shared" si="1"/>
        <v>2.3443223443223444E-4</v>
      </c>
      <c r="L10">
        <f t="shared" si="2"/>
        <v>3.0622009569377991E-3</v>
      </c>
    </row>
    <row r="11" spans="1:15" x14ac:dyDescent="0.25">
      <c r="A11" t="s">
        <v>23</v>
      </c>
      <c r="B11" t="s">
        <v>19</v>
      </c>
      <c r="C11">
        <v>0</v>
      </c>
      <c r="D11">
        <v>4</v>
      </c>
      <c r="E11">
        <v>54</v>
      </c>
      <c r="F11" s="3">
        <v>174</v>
      </c>
      <c r="G11" s="3">
        <v>2556</v>
      </c>
      <c r="H11" s="1">
        <f t="shared" si="0"/>
        <v>14.689655172413794</v>
      </c>
      <c r="I11">
        <v>3</v>
      </c>
      <c r="J11">
        <v>0.45</v>
      </c>
      <c r="K11" s="2">
        <f t="shared" si="1"/>
        <v>1.7605633802816902E-4</v>
      </c>
      <c r="L11">
        <f t="shared" si="2"/>
        <v>2.5862068965517241E-3</v>
      </c>
    </row>
    <row r="12" spans="1:15" x14ac:dyDescent="0.25">
      <c r="A12" t="s">
        <v>24</v>
      </c>
      <c r="B12" t="s">
        <v>19</v>
      </c>
      <c r="C12">
        <v>0</v>
      </c>
      <c r="D12">
        <v>4</v>
      </c>
      <c r="E12">
        <v>54</v>
      </c>
      <c r="F12" s="3">
        <v>163</v>
      </c>
      <c r="G12" s="3">
        <v>2620</v>
      </c>
      <c r="H12" s="1">
        <f t="shared" ref="H12:H19" si="3">G12/F12</f>
        <v>16.073619631901842</v>
      </c>
      <c r="I12">
        <v>3</v>
      </c>
      <c r="J12">
        <v>0.45</v>
      </c>
      <c r="K12" s="2">
        <f t="shared" si="1"/>
        <v>1.717557251908397E-4</v>
      </c>
      <c r="L12">
        <f t="shared" si="2"/>
        <v>2.7607361963190185E-3</v>
      </c>
    </row>
    <row r="13" spans="1:15" x14ac:dyDescent="0.25">
      <c r="A13" t="s">
        <v>25</v>
      </c>
      <c r="B13" t="s">
        <v>19</v>
      </c>
      <c r="C13">
        <v>0</v>
      </c>
      <c r="D13">
        <v>9</v>
      </c>
      <c r="E13">
        <v>18</v>
      </c>
      <c r="F13" s="3">
        <v>242</v>
      </c>
      <c r="G13" s="3">
        <v>5706</v>
      </c>
      <c r="H13" s="1">
        <f t="shared" si="3"/>
        <v>23.578512396694215</v>
      </c>
      <c r="I13">
        <v>3</v>
      </c>
      <c r="J13">
        <v>0.42</v>
      </c>
      <c r="K13" s="2">
        <f t="shared" si="1"/>
        <v>7.3606729758149308E-5</v>
      </c>
      <c r="L13">
        <f t="shared" si="2"/>
        <v>1.7355371900826446E-3</v>
      </c>
    </row>
    <row r="14" spans="1:15" x14ac:dyDescent="0.25">
      <c r="A14" t="s">
        <v>29</v>
      </c>
      <c r="B14" t="s">
        <v>26</v>
      </c>
      <c r="C14">
        <v>0</v>
      </c>
      <c r="D14">
        <v>53</v>
      </c>
      <c r="E14">
        <v>38</v>
      </c>
      <c r="F14" s="3">
        <v>690</v>
      </c>
      <c r="G14" s="3">
        <v>16039</v>
      </c>
      <c r="H14" s="1">
        <f t="shared" si="3"/>
        <v>23.244927536231884</v>
      </c>
      <c r="I14">
        <v>3</v>
      </c>
      <c r="J14">
        <f>1.49-0.25</f>
        <v>1.24</v>
      </c>
      <c r="K14" s="2">
        <f t="shared" ref="K14:K18" si="4">J14/G14</f>
        <v>7.7311553089344715E-5</v>
      </c>
      <c r="L14">
        <f t="shared" ref="L14:L18" si="5">J14/F14</f>
        <v>1.7971014492753623E-3</v>
      </c>
    </row>
    <row r="15" spans="1:15" x14ac:dyDescent="0.25">
      <c r="A15" t="s">
        <v>27</v>
      </c>
      <c r="B15" t="s">
        <v>30</v>
      </c>
      <c r="C15">
        <v>0</v>
      </c>
      <c r="D15">
        <v>3</v>
      </c>
      <c r="E15">
        <v>17</v>
      </c>
      <c r="F15" s="3">
        <v>415</v>
      </c>
      <c r="G15" s="3">
        <v>8506</v>
      </c>
      <c r="H15" s="1">
        <f t="shared" si="3"/>
        <v>20.496385542168674</v>
      </c>
      <c r="I15">
        <v>50</v>
      </c>
      <c r="J15">
        <v>0.3</v>
      </c>
      <c r="K15" s="2">
        <f t="shared" si="4"/>
        <v>3.526922172584058E-5</v>
      </c>
      <c r="L15">
        <f t="shared" si="5"/>
        <v>7.2289156626506026E-4</v>
      </c>
    </row>
    <row r="16" spans="1:15" x14ac:dyDescent="0.25">
      <c r="A16" t="s">
        <v>31</v>
      </c>
      <c r="B16" t="s">
        <v>30</v>
      </c>
      <c r="C16">
        <v>0</v>
      </c>
      <c r="D16">
        <v>4</v>
      </c>
      <c r="E16">
        <v>1</v>
      </c>
      <c r="F16" s="3">
        <v>508</v>
      </c>
      <c r="G16" s="3">
        <v>10965</v>
      </c>
      <c r="H16" s="1">
        <f t="shared" si="3"/>
        <v>21.584645669291337</v>
      </c>
      <c r="I16">
        <v>50</v>
      </c>
      <c r="J16">
        <v>0.38</v>
      </c>
      <c r="K16" s="2">
        <f t="shared" si="4"/>
        <v>3.4655722754217965E-5</v>
      </c>
      <c r="L16">
        <f t="shared" si="5"/>
        <v>7.4803149606299214E-4</v>
      </c>
    </row>
    <row r="17" spans="1:12" x14ac:dyDescent="0.25">
      <c r="A17" t="s">
        <v>32</v>
      </c>
      <c r="B17" t="s">
        <v>30</v>
      </c>
      <c r="C17">
        <v>0</v>
      </c>
      <c r="D17">
        <v>1</v>
      </c>
      <c r="E17">
        <v>33</v>
      </c>
      <c r="F17" s="3">
        <v>202</v>
      </c>
      <c r="G17" s="3">
        <v>4725</v>
      </c>
      <c r="H17" s="1">
        <f t="shared" si="3"/>
        <v>23.39108910891089</v>
      </c>
      <c r="I17">
        <v>50</v>
      </c>
      <c r="J17">
        <f>0.22-0.07</f>
        <v>0.15</v>
      </c>
      <c r="K17" s="2">
        <f t="shared" si="4"/>
        <v>3.1746031746031745E-5</v>
      </c>
      <c r="L17">
        <f t="shared" si="5"/>
        <v>7.4257425742574258E-4</v>
      </c>
    </row>
    <row r="18" spans="1:12" x14ac:dyDescent="0.25">
      <c r="A18" t="s">
        <v>33</v>
      </c>
      <c r="B18" t="s">
        <v>34</v>
      </c>
      <c r="C18">
        <v>0</v>
      </c>
      <c r="D18">
        <v>2</v>
      </c>
      <c r="E18">
        <v>6</v>
      </c>
      <c r="F18" s="3">
        <v>387</v>
      </c>
      <c r="G18" s="3">
        <v>8158</v>
      </c>
      <c r="H18" s="1">
        <f t="shared" si="3"/>
        <v>21.080103359173126</v>
      </c>
      <c r="I18">
        <v>50</v>
      </c>
      <c r="J18">
        <f>0.83-0.71</f>
        <v>0.12</v>
      </c>
      <c r="K18" s="2">
        <f t="shared" si="4"/>
        <v>1.4709487619514587E-5</v>
      </c>
      <c r="L18">
        <f t="shared" si="5"/>
        <v>3.1007751937984492E-4</v>
      </c>
    </row>
    <row r="19" spans="1:12" x14ac:dyDescent="0.25">
      <c r="A19" t="s">
        <v>33</v>
      </c>
      <c r="B19" t="s">
        <v>34</v>
      </c>
      <c r="C19">
        <v>0</v>
      </c>
      <c r="D19">
        <v>2</v>
      </c>
      <c r="E19">
        <v>4</v>
      </c>
      <c r="F19" s="3">
        <v>387</v>
      </c>
      <c r="G19" s="3">
        <v>8158</v>
      </c>
      <c r="H19" s="1">
        <f t="shared" si="3"/>
        <v>21.080103359173126</v>
      </c>
      <c r="I19">
        <v>50</v>
      </c>
      <c r="J19">
        <f>0.71-0.57</f>
        <v>0.14000000000000001</v>
      </c>
      <c r="K19" s="2">
        <f t="shared" ref="K19" si="6">J19/G19</f>
        <v>1.7161068889433685E-5</v>
      </c>
      <c r="L19">
        <f t="shared" ref="L19" si="7">J19/F19</f>
        <v>3.6175710594315251E-4</v>
      </c>
    </row>
    <row r="20" spans="1:12" x14ac:dyDescent="0.25">
      <c r="A20" t="s">
        <v>33</v>
      </c>
      <c r="B20" t="s">
        <v>34</v>
      </c>
      <c r="C20">
        <v>0</v>
      </c>
      <c r="D20">
        <v>2</v>
      </c>
      <c r="E20">
        <v>6</v>
      </c>
      <c r="F20" s="3">
        <v>387</v>
      </c>
      <c r="G20" s="3">
        <v>8158</v>
      </c>
      <c r="H20" s="1">
        <f t="shared" ref="H20:H22" si="8">G20/F20</f>
        <v>21.080103359173126</v>
      </c>
      <c r="I20">
        <v>50</v>
      </c>
      <c r="J20">
        <f>0.95-0.83</f>
        <v>0.12</v>
      </c>
      <c r="K20" s="2">
        <f t="shared" ref="K20" si="9">J20/G20</f>
        <v>1.4709487619514587E-5</v>
      </c>
      <c r="L20">
        <f t="shared" ref="L20" si="10">J20/F20</f>
        <v>3.1007751937984492E-4</v>
      </c>
    </row>
    <row r="21" spans="1:12" x14ac:dyDescent="0.25">
      <c r="A21" t="s">
        <v>33</v>
      </c>
      <c r="B21" t="s">
        <v>34</v>
      </c>
      <c r="C21">
        <v>0</v>
      </c>
      <c r="D21">
        <v>2</v>
      </c>
      <c r="E21">
        <v>6</v>
      </c>
      <c r="F21" s="3">
        <v>387</v>
      </c>
      <c r="G21" s="3">
        <v>8158</v>
      </c>
      <c r="H21" s="1">
        <f t="shared" si="8"/>
        <v>21.080103359173126</v>
      </c>
      <c r="I21">
        <v>50</v>
      </c>
      <c r="J21">
        <f>1.07-0.95</f>
        <v>0.12000000000000011</v>
      </c>
      <c r="K21" s="2">
        <f>J21/G21</f>
        <v>1.47094876195146E-5</v>
      </c>
      <c r="L21">
        <f t="shared" ref="L21" si="11">J21/F21</f>
        <v>3.1007751937984525E-4</v>
      </c>
    </row>
    <row r="22" spans="1:12" x14ac:dyDescent="0.25">
      <c r="A22" t="s">
        <v>35</v>
      </c>
      <c r="B22" t="s">
        <v>34</v>
      </c>
      <c r="C22">
        <v>0</v>
      </c>
      <c r="D22">
        <v>1</v>
      </c>
      <c r="E22">
        <v>39</v>
      </c>
      <c r="F22" s="3">
        <v>407</v>
      </c>
      <c r="G22" s="3">
        <v>8318</v>
      </c>
      <c r="H22" s="1">
        <f t="shared" si="8"/>
        <v>20.437346437346438</v>
      </c>
      <c r="I22">
        <v>50</v>
      </c>
      <c r="J22">
        <v>0.09</v>
      </c>
      <c r="K22" s="2">
        <f>J22/G22</f>
        <v>1.0819908631882663E-5</v>
      </c>
      <c r="L22">
        <f t="shared" ref="L22" si="12">J22/F22</f>
        <v>2.2113022113022111E-4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Muhd Hafiz Abdul Halim</dc:creator>
  <cp:lastModifiedBy>Muhd Hafiz bin Abdul Halim</cp:lastModifiedBy>
  <dcterms:created xsi:type="dcterms:W3CDTF">2025-06-14T07:24:40Z</dcterms:created>
  <dcterms:modified xsi:type="dcterms:W3CDTF">2026-04-22T06:43:08Z</dcterms:modified>
</cp:coreProperties>
</file>
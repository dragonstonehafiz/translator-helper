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xMa\Desktop\repos\translator-helper\data\"/>
    </mc:Choice>
  </mc:AlternateContent>
  <xr:revisionPtr revIDLastSave="0" documentId="13_ncr:1_{DB9F2F1F-F745-47B2-9519-BD944798EA80}" xr6:coauthVersionLast="47" xr6:coauthVersionMax="47" xr10:uidLastSave="{00000000-0000-0000-0000-000000000000}"/>
  <bookViews>
    <workbookView xWindow="28680" yWindow="-120" windowWidth="29040" windowHeight="15720" xr2:uid="{50C1EBFE-BD10-47AD-808E-F15717A1EC4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2" i="1"/>
  <c r="K3" i="1"/>
  <c r="K4" i="1"/>
  <c r="K5" i="1"/>
  <c r="K6" i="1"/>
  <c r="K2" i="1"/>
  <c r="J6" i="1"/>
  <c r="G6" i="1"/>
  <c r="J5" i="1"/>
  <c r="G5" i="1"/>
  <c r="J4" i="1"/>
  <c r="G4" i="1"/>
  <c r="J3" i="1"/>
  <c r="G3" i="1"/>
  <c r="I2" i="1"/>
  <c r="J2" i="1" s="1"/>
  <c r="G2" i="1"/>
</calcChain>
</file>

<file path=xl/sharedStrings.xml><?xml version="1.0" encoding="utf-8"?>
<sst xmlns="http://schemas.openxmlformats.org/spreadsheetml/2006/main" count="18" uniqueCount="18">
  <si>
    <t>video</t>
  </si>
  <si>
    <t>lines</t>
  </si>
  <si>
    <t>hours</t>
  </si>
  <si>
    <t>mins</t>
  </si>
  <si>
    <t>sec</t>
  </si>
  <si>
    <t>character_count</t>
  </si>
  <si>
    <t>average_character_count</t>
  </si>
  <si>
    <t>context_size</t>
  </si>
  <si>
    <t>cost_usd</t>
  </si>
  <si>
    <t>cost_per_character</t>
  </si>
  <si>
    <t>gakumas lilja bond step 1</t>
  </si>
  <si>
    <t>gakumas lilja bond step 2</t>
  </si>
  <si>
    <t>makeine vol2.1</t>
  </si>
  <si>
    <t>makeine vol2.2</t>
  </si>
  <si>
    <t>makeine vol2.3</t>
  </si>
  <si>
    <t>cost_per_line</t>
  </si>
  <si>
    <t>avg_line_cost:</t>
  </si>
  <si>
    <t>total lines: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</si>
</sst>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6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B118A-139E-42B7-BCC2-032941E226DF}">
  <dimension ref="A1:N6"/>
  <sheetViews>
    <sheetView tabSelected="1" workbookViewId="0">
      <selection activeCell="K3" sqref="K3"/>
    </sheetView>
  </sheetViews>
  <sheetFormatPr defaultRowHeight="15" x14ac:dyDescent="0.25"/>
  <cols>
    <col min="6" max="6" width="9.140625" style="3"/>
    <col min="7" max="7" width="9.5703125" style="1" bestFit="1" customWidth="1"/>
  </cols>
  <sheetData>
    <row r="1" spans="1:14" x14ac:dyDescent="0.25">
      <c r="A1" t="s">
        <v>0</v>
      </c>
      <c r="B1" t="s">
        <v>2</v>
      </c>
      <c r="C1" t="s">
        <v>3</v>
      </c>
      <c r="D1" t="s">
        <v>4</v>
      </c>
      <c r="E1" t="s">
        <v>1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  <c r="K1" t="s">
        <v>15</v>
      </c>
    </row>
    <row r="2" spans="1:14" x14ac:dyDescent="0.25">
      <c r="A2" t="s">
        <v>10</v>
      </c>
      <c r="B2">
        <v>0</v>
      </c>
      <c r="C2">
        <v>23</v>
      </c>
      <c r="D2">
        <v>36</v>
      </c>
      <c r="E2">
        <v>935</v>
      </c>
      <c r="F2" s="3">
        <v>15967</v>
      </c>
      <c r="G2" s="1">
        <f>F2/E2</f>
        <v>17.077005347593584</v>
      </c>
      <c r="H2">
        <v>3</v>
      </c>
      <c r="I2" s="1">
        <f>4.98-2.58</f>
        <v>2.4000000000000004</v>
      </c>
      <c r="J2" s="2">
        <f>I2/F2</f>
        <v>1.5031001440470973E-4</v>
      </c>
      <c r="K2">
        <f>I2/E2</f>
        <v>2.5668449197860967E-3</v>
      </c>
      <c r="M2" t="s">
        <v>16</v>
      </c>
      <c r="N2">
        <f>AVERAGE(K:K)</f>
        <v>2.688348835024694E-3</v>
      </c>
    </row>
    <row r="3" spans="1:14" x14ac:dyDescent="0.25">
      <c r="A3" t="s">
        <v>11</v>
      </c>
      <c r="B3">
        <v>0</v>
      </c>
      <c r="E3">
        <v>705</v>
      </c>
      <c r="F3" s="3">
        <v>10215</v>
      </c>
      <c r="G3" s="1">
        <f>F3/E3</f>
        <v>14.48936170212766</v>
      </c>
      <c r="H3">
        <v>3</v>
      </c>
      <c r="I3" s="1">
        <v>1.55</v>
      </c>
      <c r="J3" s="2">
        <f>I3/F3</f>
        <v>1.5173764072442487E-4</v>
      </c>
      <c r="K3">
        <f t="shared" ref="K3:K6" si="0">I3/E3</f>
        <v>2.1985815602836882E-3</v>
      </c>
      <c r="M3" t="s">
        <v>17</v>
      </c>
      <c r="N3">
        <f>SUM(E:E)</f>
        <v>2570</v>
      </c>
    </row>
    <row r="4" spans="1:14" x14ac:dyDescent="0.25">
      <c r="A4" t="s">
        <v>12</v>
      </c>
      <c r="B4">
        <v>0</v>
      </c>
      <c r="C4">
        <v>10</v>
      </c>
      <c r="D4">
        <v>45</v>
      </c>
      <c r="E4">
        <v>331</v>
      </c>
      <c r="F4" s="3">
        <v>4569</v>
      </c>
      <c r="G4" s="1">
        <f>F4/E4</f>
        <v>13.803625377643504</v>
      </c>
      <c r="H4">
        <v>3</v>
      </c>
      <c r="I4">
        <v>0.92</v>
      </c>
      <c r="J4" s="2">
        <f>I4/F4</f>
        <v>2.0135697089078574E-4</v>
      </c>
      <c r="K4">
        <f t="shared" si="0"/>
        <v>2.7794561933534743E-3</v>
      </c>
    </row>
    <row r="5" spans="1:14" x14ac:dyDescent="0.25">
      <c r="A5" t="s">
        <v>13</v>
      </c>
      <c r="B5">
        <v>0</v>
      </c>
      <c r="C5">
        <v>8</v>
      </c>
      <c r="D5">
        <v>35</v>
      </c>
      <c r="E5">
        <v>248</v>
      </c>
      <c r="F5" s="3">
        <v>3496</v>
      </c>
      <c r="G5" s="1">
        <f>F5/E5</f>
        <v>14.096774193548388</v>
      </c>
      <c r="H5">
        <v>3</v>
      </c>
      <c r="I5">
        <v>0.77</v>
      </c>
      <c r="J5" s="2">
        <f>I5/F5</f>
        <v>2.2025171624713959E-4</v>
      </c>
      <c r="K5">
        <f t="shared" si="0"/>
        <v>3.1048387096774192E-3</v>
      </c>
    </row>
    <row r="6" spans="1:14" x14ac:dyDescent="0.25">
      <c r="A6" t="s">
        <v>14</v>
      </c>
      <c r="B6">
        <v>0</v>
      </c>
      <c r="C6">
        <v>11</v>
      </c>
      <c r="D6">
        <v>26</v>
      </c>
      <c r="E6">
        <v>351</v>
      </c>
      <c r="F6" s="3">
        <v>4351</v>
      </c>
      <c r="G6" s="1">
        <f>F6/E6</f>
        <v>12.396011396011396</v>
      </c>
      <c r="H6">
        <v>3</v>
      </c>
      <c r="I6">
        <v>0.98</v>
      </c>
      <c r="J6" s="2">
        <f>I6/F6</f>
        <v>2.2523557802803953E-4</v>
      </c>
      <c r="K6">
        <f t="shared" si="0"/>
        <v>2.7920227920227919E-3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Muhd Hafiz Abdul Halim</dc:creator>
  <cp:lastModifiedBy>Muhd Hafiz Abdul Halim</cp:lastModifiedBy>
  <dcterms:created xsi:type="dcterms:W3CDTF">2025-06-14T07:24:40Z</dcterms:created>
  <dcterms:modified xsi:type="dcterms:W3CDTF">2025-09-12T07:37:12Z</dcterms:modified>
</cp:coreProperties>
</file>
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repos\translator-helper\data\"/>
    </mc:Choice>
  </mc:AlternateContent>
  <xr:revisionPtr revIDLastSave="0" documentId="13_ncr:1_{35C6D481-5497-4B5C-9C43-1F29DB8264B8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1" l="1"/>
  <c r="K15" i="1"/>
  <c r="H15" i="1"/>
  <c r="L14" i="1"/>
  <c r="K14" i="1"/>
  <c r="J14" i="1"/>
  <c r="H14" i="1"/>
  <c r="H13" i="1"/>
  <c r="K13" i="1"/>
  <c r="L13" i="1"/>
  <c r="H12" i="1"/>
  <c r="K12" i="1"/>
  <c r="L12" i="1"/>
  <c r="K11" i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1" i="1" l="1"/>
  <c r="L9" i="1"/>
  <c r="O2" i="1" s="1"/>
</calcChain>
</file>

<file path=xl/sharedStrings.xml><?xml version="1.0" encoding="utf-8"?>
<sst xmlns="http://schemas.openxmlformats.org/spreadsheetml/2006/main" count="42" uniqueCount="31">
  <si>
    <t>video</t>
  </si>
  <si>
    <t>lines</t>
  </si>
  <si>
    <t>hours</t>
  </si>
  <si>
    <t>mins</t>
  </si>
  <si>
    <t>sec</t>
  </si>
  <si>
    <t>character_count</t>
  </si>
  <si>
    <t>average_character_count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</si>
  <si>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</si>
  <si>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</si>
  <si>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</si>
  <si>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</si>
  <si>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</si>
  <si>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</si>
  <si>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</si>
  <si>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</si>
  <si>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</si>
  <si>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</si>
  <si>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</si>
  <si>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</si>
  <si>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</si>
  <si>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</si>
  <si>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</si>
  <si>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</si>
  <si>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</si>
  <si>
    <t>gakumas lilja atmosphere</t>
  </si>
  <si>
    <t>gakumas lilja white night white wish</t>
  </si>
  <si>
    <t>gpt-4.1-mini</t>
  </si>
  <si>
    <t>gakumas event 01</t>
  </si>
  <si>
    <t>batch_size</t>
  </si>
  <si>
    <t>gakumas lilja step 3</t>
  </si>
  <si>
    <t>claude sonnet 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</si>
</sst>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5"/>
  <sheetViews>
    <sheetView tabSelected="1" workbookViewId="0">
      <selection activeCell="B15" sqref="B15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28</v>
      </c>
      <c r="J1" t="s">
        <v>7</v>
      </c>
      <c r="K1" t="s">
        <v>8</v>
      </c>
      <c r="L1" t="s">
        <v>14</v>
      </c>
    </row>
    <row r="2" spans="1:15" x14ac:dyDescent="0.25">
      <c r="A2" t="s">
        <v>9</v>
      </c>
      <c r="B2" t="s">
        <v>19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1" si="0">G2/F2</f>
        <v>17.077005347593584</v>
      </c>
      <c r="I2">
        <v>3</v>
      </c>
      <c r="J2" s="1">
        <f>4.98-2.58</f>
        <v>2.4000000000000004</v>
      </c>
      <c r="K2" s="2">
        <f t="shared" ref="K2:K13" si="1">J2/G2</f>
        <v>1.5031001440470973E-4</v>
      </c>
      <c r="L2">
        <f>J2/F2</f>
        <v>2.5668449197860967E-3</v>
      </c>
      <c r="N2" t="s">
        <v>15</v>
      </c>
      <c r="O2">
        <f>AVERAGE(L:L)</f>
        <v>2.418331334627957E-3</v>
      </c>
    </row>
    <row r="3" spans="1:15" x14ac:dyDescent="0.25">
      <c r="A3" t="s">
        <v>10</v>
      </c>
      <c r="B3" t="s">
        <v>19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3" si="2">J3/F3</f>
        <v>2.1985815602836882E-3</v>
      </c>
      <c r="N3" t="s">
        <v>16</v>
      </c>
      <c r="O3">
        <f>SUM(F:F)</f>
        <v>5051</v>
      </c>
    </row>
    <row r="4" spans="1:15" x14ac:dyDescent="0.25">
      <c r="A4" t="s">
        <v>11</v>
      </c>
      <c r="B4" t="s">
        <v>19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12</v>
      </c>
      <c r="B5" t="s">
        <v>19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13</v>
      </c>
      <c r="B6" t="s">
        <v>19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17</v>
      </c>
      <c r="B7" t="s">
        <v>19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20</v>
      </c>
      <c r="B8" t="s">
        <v>19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21</v>
      </c>
      <c r="B9" t="s">
        <v>19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22</v>
      </c>
      <c r="B10" t="s">
        <v>19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23</v>
      </c>
      <c r="B11" t="s">
        <v>19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  <row r="12" spans="1:15" x14ac:dyDescent="0.25">
      <c r="A12" t="s">
        <v>24</v>
      </c>
      <c r="B12" t="s">
        <v>19</v>
      </c>
      <c r="C12">
        <v>0</v>
      </c>
      <c r="D12">
        <v>4</v>
      </c>
      <c r="E12">
        <v>54</v>
      </c>
      <c r="F12" s="3">
        <v>163</v>
      </c>
      <c r="G12" s="3">
        <v>2620</v>
      </c>
      <c r="H12" s="1">
        <f>G12/F12</f>
        <v>16.073619631901842</v>
      </c>
      <c r="I12">
        <v>3</v>
      </c>
      <c r="J12">
        <v>0.45</v>
      </c>
      <c r="K12" s="2">
        <f t="shared" si="1"/>
        <v>1.717557251908397E-4</v>
      </c>
      <c r="L12">
        <f t="shared" si="2"/>
        <v>2.7607361963190185E-3</v>
      </c>
    </row>
    <row r="13" spans="1:15" x14ac:dyDescent="0.25">
      <c r="A13" t="s">
        <v>25</v>
      </c>
      <c r="B13" t="s">
        <v>19</v>
      </c>
      <c r="C13">
        <v>0</v>
      </c>
      <c r="D13">
        <v>9</v>
      </c>
      <c r="E13">
        <v>18</v>
      </c>
      <c r="F13" s="3">
        <v>242</v>
      </c>
      <c r="G13" s="3">
        <v>5706</v>
      </c>
      <c r="H13" s="1">
        <f>G13/F13</f>
        <v>23.578512396694215</v>
      </c>
      <c r="I13">
        <v>3</v>
      </c>
      <c r="J13">
        <v>0.42</v>
      </c>
      <c r="K13" s="2">
        <f t="shared" si="1"/>
        <v>7.3606729758149308E-5</v>
      </c>
      <c r="L13">
        <f t="shared" si="2"/>
        <v>1.7355371900826446E-3</v>
      </c>
    </row>
    <row r="14" spans="1:15" x14ac:dyDescent="0.25">
      <c r="A14" t="s">
        <v>29</v>
      </c>
      <c r="B14" t="s">
        <v>26</v>
      </c>
      <c r="C14">
        <v>0</v>
      </c>
      <c r="D14">
        <v>53</v>
      </c>
      <c r="E14">
        <v>38</v>
      </c>
      <c r="F14" s="3">
        <v>690</v>
      </c>
      <c r="G14" s="3">
        <v>16039</v>
      </c>
      <c r="H14" s="1">
        <f>G14/F14</f>
        <v>23.244927536231884</v>
      </c>
      <c r="I14">
        <v>3</v>
      </c>
      <c r="J14">
        <f>1.49-0.25</f>
        <v>1.24</v>
      </c>
      <c r="K14" s="2">
        <f t="shared" ref="K14:K15" si="3">J14/G14</f>
        <v>7.7311553089344715E-5</v>
      </c>
      <c r="L14">
        <f t="shared" ref="L14:L15" si="4">J14/F14</f>
        <v>1.7971014492753623E-3</v>
      </c>
    </row>
    <row r="15" spans="1:15" x14ac:dyDescent="0.25">
      <c r="A15" t="s">
        <v>27</v>
      </c>
      <c r="B15" t="s">
        <v>30</v>
      </c>
      <c r="C15">
        <v>0</v>
      </c>
      <c r="D15">
        <v>3</v>
      </c>
      <c r="E15">
        <v>17</v>
      </c>
      <c r="F15" s="3">
        <v>415</v>
      </c>
      <c r="G15" s="3">
        <v>8506</v>
      </c>
      <c r="H15" s="1">
        <f>G15/F15</f>
        <v>20.496385542168674</v>
      </c>
      <c r="I15">
        <v>50</v>
      </c>
      <c r="J15">
        <v>0.3</v>
      </c>
      <c r="K15" s="2">
        <f t="shared" si="3"/>
        <v>3.526922172584058E-5</v>
      </c>
      <c r="L15">
        <f t="shared" si="4"/>
        <v>7.2289156626506026E-4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2026-03-22T11:21:24Z</dcterms:modified>
</cp:coreProperties>
</file>